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cker 2pcs" sheetId="1" r:id="rId5"/>
    <sheet state="visible" name="Father day" sheetId="2" r:id="rId6"/>
    <sheet state="visible" name="DOOR 250" sheetId="3" r:id="rId7"/>
    <sheet state="visible" name="Đế vòm " sheetId="4" r:id="rId8"/>
    <sheet state="visible" name="Tuan-AMZ-test" sheetId="5" r:id="rId9"/>
  </sheets>
  <definedNames/>
  <calcPr/>
</workbook>
</file>

<file path=xl/sharedStrings.xml><?xml version="1.0" encoding="utf-8"?>
<sst xmlns="http://schemas.openxmlformats.org/spreadsheetml/2006/main" count="257" uniqueCount="244">
  <si>
    <t xml:space="preserve">nhóm 1 </t>
  </si>
  <si>
    <t>SPR</t>
  </si>
  <si>
    <t>nhóm 2</t>
  </si>
  <si>
    <t>spr</t>
  </si>
  <si>
    <t xml:space="preserve">250 anniversary usa stickers </t>
  </si>
  <si>
    <t>decals for trucks</t>
  </si>
  <si>
    <t xml:space="preserve">exact </t>
  </si>
  <si>
    <t>3 agr</t>
  </si>
  <si>
    <t>250 anniversary stickers</t>
  </si>
  <si>
    <t>rear window decals for trucks</t>
  </si>
  <si>
    <t>bald eagle sticker</t>
  </si>
  <si>
    <t>phrase</t>
  </si>
  <si>
    <t>american stickers</t>
  </si>
  <si>
    <t>bumper stickers</t>
  </si>
  <si>
    <t>patriotic eagle decal</t>
  </si>
  <si>
    <t>broad</t>
  </si>
  <si>
    <t>250 anniversary usa stickers</t>
  </si>
  <si>
    <t>american eagle car sticker</t>
  </si>
  <si>
    <t>america 250 stickers</t>
  </si>
  <si>
    <t>eagle flag decal</t>
  </si>
  <si>
    <t>usa 250 decal</t>
  </si>
  <si>
    <t>usa eagle bumper sticker</t>
  </si>
  <si>
    <t>1776 2026 stickers</t>
  </si>
  <si>
    <t>freedom eagle sticker</t>
  </si>
  <si>
    <t>250 years of freedom sticker</t>
  </si>
  <si>
    <t>vintage eagle patriotic sticker</t>
  </si>
  <si>
    <t>america 250 car decal</t>
  </si>
  <si>
    <t>american eagle vinyl decal</t>
  </si>
  <si>
    <t>usa 250th anniversary bumper sticker</t>
  </si>
  <si>
    <t>truck eagle stickers</t>
  </si>
  <si>
    <t>patriotic 250 anniversary decal</t>
  </si>
  <si>
    <t>patriotic bird decal</t>
  </si>
  <si>
    <t>independence day 250 sticker</t>
  </si>
  <si>
    <t>america 250 eagle sticker</t>
  </si>
  <si>
    <t>B0GV365N6Z</t>
  </si>
  <si>
    <t>USA 250th</t>
  </si>
  <si>
    <t>STK_250_ANNI_2PCS</t>
  </si>
  <si>
    <t>FROM DAUGHTER ( nhom 1)</t>
  </si>
  <si>
    <t>BEST DAD EVER</t>
  </si>
  <si>
    <t>Father’s Day Decor ( nhóm 2)</t>
  </si>
  <si>
    <t>dad gift from daughter</t>
  </si>
  <si>
    <t>best dad ever sign</t>
  </si>
  <si>
    <t>fathers day decor</t>
  </si>
  <si>
    <t>father daughter gift</t>
  </si>
  <si>
    <t>best dad ever plaque</t>
  </si>
  <si>
    <t>fathers day decorations</t>
  </si>
  <si>
    <t>gift for dad from daughter</t>
  </si>
  <si>
    <t>best dad ever decor</t>
  </si>
  <si>
    <t>fathers day desk decor</t>
  </si>
  <si>
    <t>daddy daughter gifts</t>
  </si>
  <si>
    <t>best dad acrylic sign</t>
  </si>
  <si>
    <t>sentimental father daughter gift</t>
  </si>
  <si>
    <t>best dad desk decor</t>
  </si>
  <si>
    <t>fathers day office decor</t>
  </si>
  <si>
    <t>father daughter plaque</t>
  </si>
  <si>
    <t>best dad tabletop sign</t>
  </si>
  <si>
    <t>fathers day shelf decor</t>
  </si>
  <si>
    <t>father daughter decor</t>
  </si>
  <si>
    <t>best dad gift idea</t>
  </si>
  <si>
    <t>fathers day acrylic plaque</t>
  </si>
  <si>
    <t>father daughter keepsake</t>
  </si>
  <si>
    <t>best father ever gift</t>
  </si>
  <si>
    <t>fathers day tabletop sign</t>
  </si>
  <si>
    <t>dad daughter acrylic plaque</t>
  </si>
  <si>
    <t>fathers day dad sign</t>
  </si>
  <si>
    <t>best dad from daughter</t>
  </si>
  <si>
    <t>fathers day keepsake decor</t>
  </si>
  <si>
    <t>fathers day table decor</t>
  </si>
  <si>
    <t xml:space="preserve">asin </t>
  </si>
  <si>
    <t>B0H1LHR51Z</t>
  </si>
  <si>
    <t>musemory</t>
  </si>
  <si>
    <t>FATHERS DAY_2026</t>
  </si>
  <si>
    <t>SKU</t>
  </si>
  <si>
    <t>FATHERDAY_DADGIFTFROMDAUGHTER</t>
  </si>
  <si>
    <t>nhóm 1 ( 250)</t>
  </si>
  <si>
    <t>nhóm 2 ( eagle)</t>
  </si>
  <si>
    <t>america 250 eagle decor</t>
  </si>
  <si>
    <t>american eagle decor</t>
  </si>
  <si>
    <t>america 250 eagle wreath</t>
  </si>
  <si>
    <t>patriotic eagle decor</t>
  </si>
  <si>
    <t>250 anniversary eagle sign</t>
  </si>
  <si>
    <t>eagle wall decor</t>
  </si>
  <si>
    <t>america eagle anniversary decor</t>
  </si>
  <si>
    <t>eagle wreath</t>
  </si>
  <si>
    <t>1776 2026 eagle decor</t>
  </si>
  <si>
    <t>eagle door sign</t>
  </si>
  <si>
    <t>patriotic eagle 250 anniversary</t>
  </si>
  <si>
    <t>eagle wall plaque</t>
  </si>
  <si>
    <t>usa 250 eagle plaque</t>
  </si>
  <si>
    <t>eagle hanging decor</t>
  </si>
  <si>
    <t>america 250 patriotic eagle</t>
  </si>
  <si>
    <t>eagle patriotic sign</t>
  </si>
  <si>
    <t>freedom eagle 1776 2026</t>
  </si>
  <si>
    <t>usa eagle decor</t>
  </si>
  <si>
    <t>patriotic eagle anniversary sign</t>
  </si>
  <si>
    <t>250th anniversary eagle wreath</t>
  </si>
  <si>
    <t>ASIN</t>
  </si>
  <si>
    <t>B0GZGMLGDD</t>
  </si>
  <si>
    <t>250TH_DOORSIGN_DAIBANG</t>
  </si>
  <si>
    <t>B0GZHBKGCM</t>
  </si>
  <si>
    <t>250TH_DOORSIGN_250THANNIVERSARY</t>
  </si>
  <si>
    <t>B0FDWNP259</t>
  </si>
  <si>
    <t>Nhosm 1</t>
  </si>
  <si>
    <t>Nhoms 2</t>
  </si>
  <si>
    <t>Nhoms 3</t>
  </si>
  <si>
    <t>https://www.amazon.com/dp/B0FDWNP259?th=1</t>
  </si>
  <si>
    <t>first day of school sign</t>
  </si>
  <si>
    <t>last day of school gifts for kids</t>
  </si>
  <si>
    <t xml:space="preserve">last day of school decorations </t>
  </si>
  <si>
    <t>B0GWRC6XR9</t>
  </si>
  <si>
    <t>last day of school sign</t>
  </si>
  <si>
    <t>back to school gifts for kids</t>
  </si>
  <si>
    <t>last day of school decor</t>
  </si>
  <si>
    <t>B0F9PGKBX2</t>
  </si>
  <si>
    <t>back to school board</t>
  </si>
  <si>
    <t>first day of school gifts</t>
  </si>
  <si>
    <t>back to school decorations</t>
  </si>
  <si>
    <t>chalkboard signs</t>
  </si>
  <si>
    <t>gifts for elementary students</t>
  </si>
  <si>
    <t xml:space="preserve"> back to school decor</t>
  </si>
  <si>
    <t>first and last day of school sign</t>
  </si>
  <si>
    <t>first day of school gifts for kids</t>
  </si>
  <si>
    <t>first day of school decorations for the home</t>
  </si>
  <si>
    <t>https://gemini.google.com/share/c2b09d969db0</t>
  </si>
  <si>
    <t>school board / school sign</t>
  </si>
  <si>
    <t>kindergarten graduation gifts</t>
  </si>
  <si>
    <t>day care classroom sign</t>
  </si>
  <si>
    <t>first day of school sign wooden</t>
  </si>
  <si>
    <t>first day at school gifts</t>
  </si>
  <si>
    <t>first day of school classroom decor</t>
  </si>
  <si>
    <t xml:space="preserve"> wood first day of school sign</t>
  </si>
  <si>
    <t>back to school gifts</t>
  </si>
  <si>
    <t xml:space="preserve"> classroom signs</t>
  </si>
  <si>
    <t>first day of school sign reusable</t>
  </si>
  <si>
    <t>back to school table sign</t>
  </si>
  <si>
    <t>first &amp; last day of wooden school board</t>
  </si>
  <si>
    <t>first day of school board reusable</t>
  </si>
  <si>
    <t>first day last day of school double sided sign</t>
  </si>
  <si>
    <t>https://www.amazon.com/dp/B0GZHBKGCM?psc=1</t>
  </si>
  <si>
    <t>america 250th anniversary door hanger</t>
  </si>
  <si>
    <t xml:space="preserve">boss day gifts for men </t>
  </si>
  <si>
    <t>4th of july decor</t>
  </si>
  <si>
    <t>america 250 door decor</t>
  </si>
  <si>
    <t>boss gifts for men</t>
  </si>
  <si>
    <t xml:space="preserve"> fourth of july decorations</t>
  </si>
  <si>
    <t>250th anniversary decorations</t>
  </si>
  <si>
    <t>army gifts for men</t>
  </si>
  <si>
    <t>veterans day decor</t>
  </si>
  <si>
    <t xml:space="preserve">american eagle decor </t>
  </si>
  <si>
    <t xml:space="preserve"> military gifts for men</t>
  </si>
  <si>
    <t xml:space="preserve"> memorial day decor</t>
  </si>
  <si>
    <t xml:space="preserve"> bald eagle decor</t>
  </si>
  <si>
    <t xml:space="preserve">farewell gifts for coworkers </t>
  </si>
  <si>
    <t>4th of july decorations</t>
  </si>
  <si>
    <t>eagle decor</t>
  </si>
  <si>
    <t>retirement gifts for men</t>
  </si>
  <si>
    <t>1776 to 2026 sign</t>
  </si>
  <si>
    <t>patriotic desk decor</t>
  </si>
  <si>
    <t xml:space="preserve">thank you gifts for boss </t>
  </si>
  <si>
    <t>american history decor</t>
  </si>
  <si>
    <t xml:space="preserve"> patriotic office decor</t>
  </si>
  <si>
    <t>eader gifts for men</t>
  </si>
  <si>
    <t xml:space="preserve">american flag plaque </t>
  </si>
  <si>
    <t xml:space="preserve">gifts for dad </t>
  </si>
  <si>
    <t>american flag desk decor</t>
  </si>
  <si>
    <t>father day gifts</t>
  </si>
  <si>
    <t>husband gifts from wife</t>
  </si>
  <si>
    <t>eagle gifts</t>
  </si>
  <si>
    <t>gifts for men who have everything</t>
  </si>
  <si>
    <t>patriotic gifts for men</t>
  </si>
  <si>
    <t>cool gifts for men</t>
  </si>
  <si>
    <t>marine corps gifts for men</t>
  </si>
  <si>
    <t xml:space="preserve">giá bán </t>
  </si>
  <si>
    <t>FBA fee</t>
  </si>
  <si>
    <t>Referral Fee</t>
  </si>
  <si>
    <t>Shipping Cost</t>
  </si>
  <si>
    <t>Net Profit</t>
  </si>
  <si>
    <t>PPC</t>
  </si>
  <si>
    <t>BID HÒA VỐN</t>
  </si>
  <si>
    <t>https://www.amazon.com/dp/B0GWRC6XR9?psc=1</t>
  </si>
  <si>
    <t>dad hat</t>
  </si>
  <si>
    <t>gifts for dad</t>
  </si>
  <si>
    <t>fathers day hat</t>
  </si>
  <si>
    <t>B0GY4JSS94</t>
  </si>
  <si>
    <t>best dad ever hat (B0GY4JSS94) 0.8</t>
  </si>
  <si>
    <t>dad gifts from daughter</t>
  </si>
  <si>
    <t>mens fathers day hat</t>
  </si>
  <si>
    <t>sale</t>
  </si>
  <si>
    <t>https://www.amazon.com/dp/B0GY4JSS94</t>
  </si>
  <si>
    <t>dadhat</t>
  </si>
  <si>
    <t>fathers day gifts</t>
  </si>
  <si>
    <t>fathers day hats</t>
  </si>
  <si>
    <t>papa hat</t>
  </si>
  <si>
    <t>cool dad birthday gifts</t>
  </si>
  <si>
    <t>fathers day baseball cap</t>
  </si>
  <si>
    <t xml:space="preserve">dad hats for men </t>
  </si>
  <si>
    <t>fathers day gifts for dad</t>
  </si>
  <si>
    <t>fathers day hats for dad</t>
  </si>
  <si>
    <t>c</t>
  </si>
  <si>
    <t>dad cap</t>
  </si>
  <si>
    <t>best dad ever gifts</t>
  </si>
  <si>
    <t>best fathers day hat</t>
  </si>
  <si>
    <t>bid</t>
  </si>
  <si>
    <t>camo dad hat</t>
  </si>
  <si>
    <t>dad birthday gift</t>
  </si>
  <si>
    <t>father's day hat</t>
  </si>
  <si>
    <t>ctr</t>
  </si>
  <si>
    <t>gifts for dad from daughter</t>
  </si>
  <si>
    <t>happy fathers day hat</t>
  </si>
  <si>
    <t>best dad hat</t>
  </si>
  <si>
    <t>birthday gifts for dad</t>
  </si>
  <si>
    <t>fathers day dad hat</t>
  </si>
  <si>
    <t>cl c</t>
  </si>
  <si>
    <t>daddy hats men (B0GY4JSS94)</t>
  </si>
  <si>
    <t>father's day gifts</t>
  </si>
  <si>
    <t>first fathers day hat</t>
  </si>
  <si>
    <t>mens dad hat</t>
  </si>
  <si>
    <t>https://www.amazon.com/dp/B0F9PGKBX2?th=1</t>
  </si>
  <si>
    <t>turtle stuff</t>
  </si>
  <si>
    <t>sea turtle gifts</t>
  </si>
  <si>
    <t>turtle for graduation gift</t>
  </si>
  <si>
    <t>emotional support turtle</t>
  </si>
  <si>
    <t>turtle gifts for women</t>
  </si>
  <si>
    <t>mothers day turtle gifts</t>
  </si>
  <si>
    <t>positive turtle</t>
  </si>
  <si>
    <t>turtle gifts</t>
  </si>
  <si>
    <t>teacher appreciation gifts turtle</t>
  </si>
  <si>
    <t>turtle in a jar</t>
  </si>
  <si>
    <t>turtle gifts for mom</t>
  </si>
  <si>
    <t>mothers day gifts for mom</t>
  </si>
  <si>
    <t>turtle souvenir</t>
  </si>
  <si>
    <t>turtle birthday gifts</t>
  </si>
  <si>
    <t>retirement gifts for women</t>
  </si>
  <si>
    <t>turtle home decor</t>
  </si>
  <si>
    <t>gifts for turtle lovers</t>
  </si>
  <si>
    <t>graduation gifts for girls</t>
  </si>
  <si>
    <t>sea turtle decor</t>
  </si>
  <si>
    <t>unique turtle gifts</t>
  </si>
  <si>
    <t>inspirational turtle</t>
  </si>
  <si>
    <t>cute turtle gifts</t>
  </si>
  <si>
    <t>cute turtle accessories</t>
  </si>
  <si>
    <t>bulk turtle gifts</t>
  </si>
  <si>
    <t>turtle card</t>
  </si>
  <si>
    <t>turtle office gifts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</si>
</sst>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u/>
      <color rgb="FF0000FF"/>
    </font>
    <font>
      <i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3" fontId="2" numFmtId="0" xfId="0" applyAlignment="1" applyFill="1" applyFont="1">
      <alignment readingOrder="0"/>
    </xf>
    <xf borderId="0" fillId="4" fontId="2" numFmtId="0" xfId="0" applyFill="1" applyFont="1"/>
    <xf borderId="0" fillId="4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5" fontId="2" numFmtId="0" xfId="0" applyAlignment="1" applyFill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FDWNP259?th=1" TargetMode="External"/><Relationship Id="rId2" Type="http://schemas.openxmlformats.org/officeDocument/2006/relationships/hyperlink" Target="https://gemini.google.com/share/c2b09d969db0" TargetMode="External"/><Relationship Id="rId3" Type="http://schemas.openxmlformats.org/officeDocument/2006/relationships/hyperlink" Target="https://www.amazon.com/dp/B0GZHBKGCM?psc=1" TargetMode="External"/><Relationship Id="rId4" Type="http://schemas.openxmlformats.org/officeDocument/2006/relationships/hyperlink" Target="https://www.amazon.com/dp/B0GWRC6XR9?psc=1" TargetMode="External"/><Relationship Id="rId5" Type="http://schemas.openxmlformats.org/officeDocument/2006/relationships/hyperlink" Target="https://www.amazon.com/dp/B0GY4JSS94" TargetMode="External"/><Relationship Id="rId6" Type="http://schemas.openxmlformats.org/officeDocument/2006/relationships/hyperlink" Target="https://www.amazon.com/dp/B0F9PGKBX2?th=1" TargetMode="External"/><Relationship Id="rId7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9.88"/>
    <col customWidth="1" min="3" max="3" width="32.13"/>
    <col customWidth="1" min="5" max="5" width="25.38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2" t="s">
        <v>3</v>
      </c>
    </row>
    <row r="2">
      <c r="A2" s="3" t="s">
        <v>4</v>
      </c>
      <c r="B2" s="4">
        <v>1.0</v>
      </c>
      <c r="C2" s="1" t="s">
        <v>5</v>
      </c>
      <c r="D2" s="4">
        <v>1.0</v>
      </c>
      <c r="E2" s="3">
        <v>0.0</v>
      </c>
      <c r="F2" s="2">
        <v>1.0</v>
      </c>
      <c r="H2" s="2" t="s">
        <v>6</v>
      </c>
      <c r="I2" s="2">
        <v>0.6</v>
      </c>
      <c r="J2" s="2" t="s">
        <v>7</v>
      </c>
    </row>
    <row r="3">
      <c r="A3" s="1" t="s">
        <v>8</v>
      </c>
      <c r="B3" s="4">
        <v>1.0</v>
      </c>
      <c r="C3" s="1" t="s">
        <v>9</v>
      </c>
      <c r="D3" s="4">
        <v>4.0</v>
      </c>
      <c r="E3" s="2" t="s">
        <v>10</v>
      </c>
      <c r="H3" s="2" t="s">
        <v>11</v>
      </c>
      <c r="I3" s="2">
        <v>0.45</v>
      </c>
    </row>
    <row r="4">
      <c r="A4" s="1" t="s">
        <v>12</v>
      </c>
      <c r="B4" s="3">
        <v>3.0</v>
      </c>
      <c r="C4" s="1" t="s">
        <v>13</v>
      </c>
      <c r="D4" s="4">
        <v>8.0</v>
      </c>
      <c r="E4" s="2" t="s">
        <v>14</v>
      </c>
      <c r="H4" s="2" t="s">
        <v>15</v>
      </c>
      <c r="I4" s="2">
        <v>0.35</v>
      </c>
    </row>
    <row r="5">
      <c r="A5" s="2" t="s">
        <v>16</v>
      </c>
      <c r="E5" s="2" t="s">
        <v>17</v>
      </c>
    </row>
    <row r="6">
      <c r="A6" s="2" t="s">
        <v>18</v>
      </c>
      <c r="B6" s="2">
        <v>1.0</v>
      </c>
      <c r="E6" s="2" t="s">
        <v>19</v>
      </c>
    </row>
    <row r="7">
      <c r="A7" s="2" t="s">
        <v>20</v>
      </c>
      <c r="E7" s="2" t="s">
        <v>21</v>
      </c>
    </row>
    <row r="8">
      <c r="A8" s="2" t="s">
        <v>22</v>
      </c>
      <c r="E8" s="2" t="s">
        <v>23</v>
      </c>
    </row>
    <row r="9">
      <c r="A9" s="2" t="s">
        <v>24</v>
      </c>
      <c r="E9" s="2" t="s">
        <v>25</v>
      </c>
    </row>
    <row r="10">
      <c r="A10" s="2" t="s">
        <v>26</v>
      </c>
      <c r="E10" s="2" t="s">
        <v>27</v>
      </c>
    </row>
    <row r="11">
      <c r="A11" s="2" t="s">
        <v>28</v>
      </c>
      <c r="E11" s="2" t="s">
        <v>29</v>
      </c>
    </row>
    <row r="12">
      <c r="A12" s="2" t="s">
        <v>30</v>
      </c>
      <c r="E12" s="2" t="s">
        <v>31</v>
      </c>
    </row>
    <row r="13">
      <c r="A13" s="2" t="s">
        <v>32</v>
      </c>
    </row>
    <row r="14">
      <c r="A14" s="2" t="s">
        <v>33</v>
      </c>
    </row>
    <row r="18">
      <c r="C18" s="2" t="s">
        <v>34</v>
      </c>
      <c r="E18" s="5">
        <v>2.0975798244808E14</v>
      </c>
      <c r="F18" s="5" t="s">
        <v>35</v>
      </c>
    </row>
    <row r="20">
      <c r="C20" s="2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35.88"/>
    <col customWidth="1" min="3" max="3" width="19.0"/>
    <col customWidth="1" min="4" max="4" width="25.38"/>
    <col customWidth="1" min="5" max="5" width="26.88"/>
  </cols>
  <sheetData>
    <row r="1">
      <c r="A1" s="2" t="s">
        <v>37</v>
      </c>
      <c r="B1" s="2" t="s">
        <v>1</v>
      </c>
      <c r="C1" s="2" t="s">
        <v>38</v>
      </c>
      <c r="E1" s="2" t="s">
        <v>39</v>
      </c>
    </row>
    <row r="2">
      <c r="A2" s="6" t="s">
        <v>40</v>
      </c>
      <c r="B2" s="6">
        <v>1.0</v>
      </c>
      <c r="C2" s="2" t="s">
        <v>41</v>
      </c>
      <c r="E2" s="6" t="s">
        <v>42</v>
      </c>
      <c r="F2" s="6">
        <v>1.0</v>
      </c>
    </row>
    <row r="3">
      <c r="A3" s="6" t="s">
        <v>43</v>
      </c>
      <c r="B3" s="6">
        <v>1.0</v>
      </c>
      <c r="C3" s="2" t="s">
        <v>44</v>
      </c>
      <c r="E3" s="6" t="s">
        <v>45</v>
      </c>
      <c r="F3" s="6">
        <v>2.0</v>
      </c>
    </row>
    <row r="4">
      <c r="A4" s="6" t="s">
        <v>46</v>
      </c>
      <c r="B4" s="6">
        <v>3.0</v>
      </c>
      <c r="C4" s="2" t="s">
        <v>47</v>
      </c>
      <c r="E4" s="6" t="s">
        <v>48</v>
      </c>
      <c r="F4" s="6">
        <v>1.0</v>
      </c>
    </row>
    <row r="5">
      <c r="A5" s="6" t="s">
        <v>49</v>
      </c>
      <c r="B5" s="6">
        <v>1.0</v>
      </c>
      <c r="C5" s="2" t="s">
        <v>50</v>
      </c>
      <c r="E5" s="6" t="s">
        <v>45</v>
      </c>
    </row>
    <row r="6">
      <c r="A6" s="2" t="s">
        <v>51</v>
      </c>
      <c r="C6" s="2" t="s">
        <v>52</v>
      </c>
      <c r="E6" s="2" t="s">
        <v>53</v>
      </c>
    </row>
    <row r="7">
      <c r="A7" s="2" t="s">
        <v>54</v>
      </c>
      <c r="C7" s="2" t="s">
        <v>55</v>
      </c>
      <c r="E7" s="2" t="s">
        <v>56</v>
      </c>
    </row>
    <row r="8">
      <c r="A8" s="2" t="s">
        <v>57</v>
      </c>
      <c r="C8" s="2" t="s">
        <v>58</v>
      </c>
      <c r="E8" s="2" t="s">
        <v>59</v>
      </c>
    </row>
    <row r="9">
      <c r="A9" s="2" t="s">
        <v>60</v>
      </c>
      <c r="C9" s="2" t="s">
        <v>61</v>
      </c>
      <c r="E9" s="2" t="s">
        <v>62</v>
      </c>
    </row>
    <row r="10">
      <c r="A10" s="2" t="s">
        <v>63</v>
      </c>
      <c r="E10" s="2" t="s">
        <v>64</v>
      </c>
    </row>
    <row r="11">
      <c r="A11" s="2" t="s">
        <v>65</v>
      </c>
      <c r="E11" s="2" t="s">
        <v>66</v>
      </c>
    </row>
    <row r="12">
      <c r="E12" s="2" t="s">
        <v>67</v>
      </c>
    </row>
    <row r="14">
      <c r="A14" s="2" t="s">
        <v>68</v>
      </c>
      <c r="B14" s="2" t="s">
        <v>69</v>
      </c>
      <c r="C14" s="2" t="s">
        <v>70</v>
      </c>
      <c r="D14" s="5">
        <v>2.1217087599861E14</v>
      </c>
      <c r="E14" s="5" t="s">
        <v>71</v>
      </c>
    </row>
    <row r="15">
      <c r="A15" s="2" t="s">
        <v>72</v>
      </c>
      <c r="B15" s="2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3" max="3" width="28.0"/>
    <col customWidth="1" min="4" max="4" width="37.0"/>
    <col customWidth="1" min="5" max="5" width="20.63"/>
  </cols>
  <sheetData>
    <row r="1">
      <c r="C1" s="2" t="s">
        <v>74</v>
      </c>
      <c r="E1" s="2" t="s">
        <v>75</v>
      </c>
    </row>
    <row r="2">
      <c r="C2" s="2" t="s">
        <v>76</v>
      </c>
      <c r="E2" s="2" t="s">
        <v>77</v>
      </c>
      <c r="G2" s="2">
        <v>0.6</v>
      </c>
    </row>
    <row r="3">
      <c r="C3" s="2" t="s">
        <v>78</v>
      </c>
      <c r="E3" s="2" t="s">
        <v>79</v>
      </c>
      <c r="G3" s="2">
        <v>0.4</v>
      </c>
    </row>
    <row r="4">
      <c r="C4" s="2" t="s">
        <v>80</v>
      </c>
      <c r="E4" s="2" t="s">
        <v>81</v>
      </c>
      <c r="G4" s="2">
        <v>0.3</v>
      </c>
    </row>
    <row r="5">
      <c r="C5" s="2" t="s">
        <v>82</v>
      </c>
      <c r="E5" s="2" t="s">
        <v>83</v>
      </c>
    </row>
    <row r="6">
      <c r="C6" s="2" t="s">
        <v>84</v>
      </c>
      <c r="E6" s="2" t="s">
        <v>85</v>
      </c>
    </row>
    <row r="7">
      <c r="C7" s="2" t="s">
        <v>86</v>
      </c>
      <c r="E7" s="2" t="s">
        <v>87</v>
      </c>
    </row>
    <row r="8">
      <c r="C8" s="2" t="s">
        <v>88</v>
      </c>
      <c r="E8" s="2" t="s">
        <v>89</v>
      </c>
    </row>
    <row r="9">
      <c r="C9" s="2" t="s">
        <v>90</v>
      </c>
      <c r="E9" s="2" t="s">
        <v>91</v>
      </c>
    </row>
    <row r="10">
      <c r="C10" s="2" t="s">
        <v>92</v>
      </c>
      <c r="E10" s="2" t="s">
        <v>93</v>
      </c>
    </row>
    <row r="11">
      <c r="C11" s="2" t="s">
        <v>94</v>
      </c>
    </row>
    <row r="12">
      <c r="C12" s="2" t="s">
        <v>95</v>
      </c>
      <c r="D12" s="2">
        <v>1.0</v>
      </c>
    </row>
    <row r="15">
      <c r="C15" s="2" t="s">
        <v>96</v>
      </c>
      <c r="D15" s="5">
        <v>2.0975798244808E14</v>
      </c>
      <c r="E15" s="5" t="s">
        <v>35</v>
      </c>
    </row>
    <row r="16">
      <c r="C16" s="2" t="s">
        <v>97</v>
      </c>
    </row>
    <row r="17">
      <c r="C17" s="2" t="s">
        <v>72</v>
      </c>
    </row>
    <row r="18">
      <c r="C18" s="2" t="s">
        <v>98</v>
      </c>
    </row>
    <row r="22">
      <c r="C22" s="2" t="s">
        <v>96</v>
      </c>
    </row>
    <row r="23">
      <c r="C23" s="2" t="s">
        <v>99</v>
      </c>
    </row>
    <row r="24">
      <c r="C24" s="2" t="s">
        <v>72</v>
      </c>
    </row>
    <row r="25">
      <c r="C25" s="2" t="s"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40.5"/>
    <col customWidth="1" min="4" max="4" width="11.88"/>
    <col customWidth="1" min="5" max="5" width="35.88"/>
    <col customWidth="1" min="6" max="6" width="15.88"/>
    <col customWidth="1" min="7" max="7" width="30.75"/>
    <col customWidth="1" min="11" max="11" width="13.5"/>
    <col customWidth="1" min="13" max="13" width="11.88"/>
  </cols>
  <sheetData>
    <row r="1">
      <c r="A1" s="2" t="s">
        <v>101</v>
      </c>
      <c r="B1" s="2" t="s">
        <v>101</v>
      </c>
      <c r="C1" s="2" t="s">
        <v>102</v>
      </c>
      <c r="D1" s="2"/>
      <c r="E1" s="2" t="s">
        <v>103</v>
      </c>
      <c r="F1" s="2"/>
      <c r="G1" s="2" t="s">
        <v>104</v>
      </c>
    </row>
    <row r="2">
      <c r="A2" s="2" t="s">
        <v>99</v>
      </c>
      <c r="B2" s="7" t="s">
        <v>105</v>
      </c>
      <c r="C2" s="8" t="s">
        <v>106</v>
      </c>
      <c r="D2" s="8"/>
      <c r="E2" s="2" t="s">
        <v>107</v>
      </c>
      <c r="F2" s="2"/>
      <c r="G2" s="2" t="s">
        <v>108</v>
      </c>
    </row>
    <row r="3">
      <c r="A3" s="2" t="s">
        <v>109</v>
      </c>
      <c r="C3" s="8" t="s">
        <v>110</v>
      </c>
      <c r="D3" s="8"/>
      <c r="E3" s="2" t="s">
        <v>111</v>
      </c>
      <c r="F3" s="2"/>
      <c r="G3" s="2" t="s">
        <v>112</v>
      </c>
    </row>
    <row r="4">
      <c r="A4" s="2" t="s">
        <v>113</v>
      </c>
      <c r="C4" s="8" t="s">
        <v>114</v>
      </c>
      <c r="D4" s="8"/>
      <c r="E4" s="2" t="s">
        <v>115</v>
      </c>
      <c r="F4" s="2"/>
      <c r="G4" s="2" t="s">
        <v>116</v>
      </c>
    </row>
    <row r="5">
      <c r="C5" s="8" t="s">
        <v>117</v>
      </c>
      <c r="D5" s="8"/>
      <c r="E5" s="2" t="s">
        <v>118</v>
      </c>
      <c r="F5" s="2"/>
      <c r="G5" s="2" t="s">
        <v>119</v>
      </c>
    </row>
    <row r="6">
      <c r="C6" s="8" t="s">
        <v>120</v>
      </c>
      <c r="D6" s="8"/>
      <c r="E6" s="2" t="s">
        <v>121</v>
      </c>
      <c r="F6" s="2"/>
      <c r="G6" s="2" t="s">
        <v>122</v>
      </c>
    </row>
    <row r="7">
      <c r="A7" s="7" t="s">
        <v>123</v>
      </c>
      <c r="C7" s="2" t="s">
        <v>124</v>
      </c>
      <c r="D7" s="2"/>
      <c r="E7" s="2" t="s">
        <v>125</v>
      </c>
      <c r="F7" s="2"/>
      <c r="G7" s="2" t="s">
        <v>126</v>
      </c>
    </row>
    <row r="8">
      <c r="C8" s="2" t="s">
        <v>127</v>
      </c>
      <c r="D8" s="2"/>
      <c r="E8" s="2" t="s">
        <v>128</v>
      </c>
      <c r="F8" s="2"/>
      <c r="G8" s="2" t="s">
        <v>129</v>
      </c>
    </row>
    <row r="9">
      <c r="C9" s="2" t="s">
        <v>130</v>
      </c>
      <c r="D9" s="2"/>
      <c r="E9" s="2" t="s">
        <v>131</v>
      </c>
      <c r="F9" s="2"/>
      <c r="G9" s="2" t="s">
        <v>132</v>
      </c>
    </row>
    <row r="10">
      <c r="C10" s="2" t="s">
        <v>133</v>
      </c>
      <c r="D10" s="2"/>
      <c r="G10" s="2" t="s">
        <v>134</v>
      </c>
    </row>
    <row r="11">
      <c r="C11" s="9" t="s">
        <v>135</v>
      </c>
      <c r="D11" s="9"/>
    </row>
    <row r="12">
      <c r="C12" s="2" t="s">
        <v>136</v>
      </c>
      <c r="D12" s="2"/>
    </row>
    <row r="13">
      <c r="C13" s="9" t="s">
        <v>137</v>
      </c>
      <c r="D13" s="9"/>
    </row>
    <row r="15">
      <c r="C15" s="10"/>
      <c r="D15" s="10"/>
    </row>
    <row r="18">
      <c r="B18" s="2" t="s">
        <v>99</v>
      </c>
    </row>
    <row r="19">
      <c r="B19" s="7" t="s">
        <v>138</v>
      </c>
      <c r="C19" s="2" t="s">
        <v>139</v>
      </c>
      <c r="D19" s="2"/>
      <c r="E19" s="2" t="s">
        <v>140</v>
      </c>
      <c r="F19" s="2"/>
      <c r="G19" s="2" t="s">
        <v>141</v>
      </c>
    </row>
    <row r="20">
      <c r="C20" s="2" t="s">
        <v>142</v>
      </c>
      <c r="D20" s="2"/>
      <c r="E20" s="2" t="s">
        <v>143</v>
      </c>
      <c r="F20" s="2"/>
      <c r="G20" s="2" t="s">
        <v>144</v>
      </c>
    </row>
    <row r="21">
      <c r="C21" s="2" t="s">
        <v>145</v>
      </c>
      <c r="D21" s="2"/>
      <c r="E21" s="2" t="s">
        <v>146</v>
      </c>
      <c r="F21" s="2"/>
      <c r="G21" s="2" t="s">
        <v>147</v>
      </c>
    </row>
    <row r="22">
      <c r="C22" s="11" t="s">
        <v>148</v>
      </c>
      <c r="D22" s="11"/>
      <c r="E22" s="2" t="s">
        <v>149</v>
      </c>
      <c r="F22" s="2"/>
      <c r="G22" s="2" t="s">
        <v>150</v>
      </c>
    </row>
    <row r="23">
      <c r="C23" s="11" t="s">
        <v>151</v>
      </c>
      <c r="D23" s="11"/>
      <c r="E23" s="2" t="s">
        <v>152</v>
      </c>
      <c r="F23" s="2"/>
      <c r="G23" s="2" t="s">
        <v>153</v>
      </c>
    </row>
    <row r="24">
      <c r="C24" s="11" t="s">
        <v>154</v>
      </c>
      <c r="D24" s="11"/>
      <c r="E24" s="2" t="s">
        <v>155</v>
      </c>
      <c r="F24" s="2"/>
      <c r="G24" s="2" t="s">
        <v>156</v>
      </c>
    </row>
    <row r="25">
      <c r="C25" s="11" t="s">
        <v>157</v>
      </c>
      <c r="D25" s="11"/>
      <c r="E25" s="2" t="s">
        <v>158</v>
      </c>
      <c r="F25" s="2"/>
      <c r="G25" s="2" t="s">
        <v>159</v>
      </c>
    </row>
    <row r="26">
      <c r="C26" s="11" t="s">
        <v>160</v>
      </c>
      <c r="D26" s="11"/>
      <c r="E26" s="2" t="s">
        <v>161</v>
      </c>
      <c r="F26" s="2"/>
    </row>
    <row r="27">
      <c r="C27" s="11" t="s">
        <v>162</v>
      </c>
      <c r="D27" s="11"/>
      <c r="E27" s="2" t="s">
        <v>163</v>
      </c>
      <c r="F27" s="2"/>
    </row>
    <row r="28">
      <c r="C28" s="11" t="s">
        <v>164</v>
      </c>
      <c r="D28" s="11"/>
      <c r="E28" s="2" t="s">
        <v>165</v>
      </c>
      <c r="F28" s="2"/>
    </row>
    <row r="29">
      <c r="E29" s="2" t="s">
        <v>166</v>
      </c>
      <c r="F29" s="2"/>
    </row>
    <row r="30">
      <c r="E30" s="11" t="s">
        <v>167</v>
      </c>
      <c r="F30" s="11"/>
    </row>
    <row r="31">
      <c r="E31" s="2" t="s">
        <v>168</v>
      </c>
      <c r="F31" s="2"/>
    </row>
    <row r="32">
      <c r="E32" s="11" t="s">
        <v>169</v>
      </c>
      <c r="F32" s="11"/>
    </row>
    <row r="33">
      <c r="E33" s="2" t="s">
        <v>170</v>
      </c>
      <c r="F33" s="2"/>
    </row>
    <row r="34">
      <c r="E34" s="2" t="s">
        <v>171</v>
      </c>
      <c r="F34" s="2"/>
    </row>
    <row r="40">
      <c r="B40" s="2" t="s">
        <v>109</v>
      </c>
      <c r="E40" s="12"/>
      <c r="I40" s="2" t="s">
        <v>172</v>
      </c>
      <c r="J40" s="2" t="s">
        <v>173</v>
      </c>
      <c r="K40" s="2" t="s">
        <v>174</v>
      </c>
      <c r="L40" s="2" t="s">
        <v>175</v>
      </c>
      <c r="M40" s="2" t="s">
        <v>176</v>
      </c>
      <c r="N40" s="2" t="s">
        <v>177</v>
      </c>
      <c r="O40" s="2" t="s">
        <v>178</v>
      </c>
    </row>
    <row r="41">
      <c r="B41" s="7" t="s">
        <v>179</v>
      </c>
      <c r="C41" s="2" t="s">
        <v>180</v>
      </c>
      <c r="D41" s="2"/>
      <c r="E41" s="13" t="s">
        <v>181</v>
      </c>
      <c r="F41" s="14"/>
      <c r="G41" s="14" t="s">
        <v>182</v>
      </c>
      <c r="I41" s="2">
        <v>17.99</v>
      </c>
      <c r="J41" s="2">
        <v>4.76</v>
      </c>
      <c r="K41" s="15">
        <f>15%*I41</f>
        <v>2.6985</v>
      </c>
      <c r="L41" s="2">
        <v>5.93</v>
      </c>
      <c r="M41" s="15">
        <f>I41-J41-K41-L41</f>
        <v>4.6015</v>
      </c>
      <c r="O41" s="2">
        <v>0.96</v>
      </c>
    </row>
    <row r="42">
      <c r="B42" s="2" t="s">
        <v>183</v>
      </c>
      <c r="C42" s="6" t="s">
        <v>184</v>
      </c>
      <c r="D42" s="2">
        <v>1.0</v>
      </c>
      <c r="E42" s="13" t="s">
        <v>185</v>
      </c>
      <c r="F42" s="14"/>
      <c r="G42" s="14" t="s">
        <v>186</v>
      </c>
      <c r="I42" s="2" t="s">
        <v>187</v>
      </c>
      <c r="M42" s="16">
        <f>M41/I41</f>
        <v>0.2557809894</v>
      </c>
    </row>
    <row r="43">
      <c r="B43" s="7" t="s">
        <v>188</v>
      </c>
      <c r="C43" s="2" t="s">
        <v>189</v>
      </c>
      <c r="D43" s="2"/>
      <c r="E43" s="13" t="s">
        <v>190</v>
      </c>
      <c r="F43" s="14"/>
      <c r="G43" s="14" t="s">
        <v>191</v>
      </c>
      <c r="I43" s="15">
        <f>I41*20</f>
        <v>359.8</v>
      </c>
      <c r="N43" s="15">
        <f>60*N44</f>
        <v>57.6</v>
      </c>
      <c r="P43" s="16">
        <f>N43/I43</f>
        <v>0.1600889383</v>
      </c>
    </row>
    <row r="44">
      <c r="C44" s="2" t="s">
        <v>192</v>
      </c>
      <c r="D44" s="2"/>
      <c r="E44" s="13" t="s">
        <v>193</v>
      </c>
      <c r="F44" s="14"/>
      <c r="G44" s="14" t="s">
        <v>194</v>
      </c>
      <c r="N44" s="2">
        <v>0.96</v>
      </c>
    </row>
    <row r="45">
      <c r="C45" s="2" t="s">
        <v>195</v>
      </c>
      <c r="D45" s="2"/>
      <c r="E45" s="13" t="s">
        <v>196</v>
      </c>
      <c r="F45" s="14"/>
      <c r="G45" s="14" t="s">
        <v>197</v>
      </c>
      <c r="M45" s="6" t="s">
        <v>198</v>
      </c>
      <c r="N45" s="6">
        <v>22.0</v>
      </c>
    </row>
    <row r="46">
      <c r="C46" s="2" t="s">
        <v>199</v>
      </c>
      <c r="D46" s="2"/>
      <c r="E46" s="13" t="s">
        <v>200</v>
      </c>
      <c r="F46" s="14"/>
      <c r="G46" s="14" t="s">
        <v>201</v>
      </c>
      <c r="M46" s="6" t="s">
        <v>202</v>
      </c>
      <c r="N46" s="6">
        <v>1.0</v>
      </c>
      <c r="O46" s="15">
        <f>N46*N45</f>
        <v>22</v>
      </c>
    </row>
    <row r="47">
      <c r="C47" s="2" t="s">
        <v>203</v>
      </c>
      <c r="D47" s="2"/>
      <c r="E47" s="13" t="s">
        <v>204</v>
      </c>
      <c r="F47" s="14"/>
      <c r="G47" s="14" t="s">
        <v>205</v>
      </c>
      <c r="M47" s="6" t="s">
        <v>206</v>
      </c>
      <c r="N47" s="6">
        <v>20.0</v>
      </c>
      <c r="O47" s="15">
        <f>N47*I41</f>
        <v>359.8</v>
      </c>
      <c r="Q47" s="15">
        <f>O47/O46</f>
        <v>16.35454545</v>
      </c>
    </row>
    <row r="48">
      <c r="C48" s="2" t="s">
        <v>199</v>
      </c>
      <c r="D48" s="2"/>
      <c r="E48" s="13" t="s">
        <v>207</v>
      </c>
      <c r="F48" s="14"/>
      <c r="G48" s="14" t="s">
        <v>208</v>
      </c>
    </row>
    <row r="49">
      <c r="C49" s="11" t="s">
        <v>209</v>
      </c>
      <c r="D49" s="2"/>
      <c r="E49" s="13" t="s">
        <v>210</v>
      </c>
      <c r="F49" s="14"/>
      <c r="G49" s="14" t="s">
        <v>211</v>
      </c>
      <c r="M49" s="17" t="s">
        <v>212</v>
      </c>
      <c r="N49" s="17">
        <v>60.0</v>
      </c>
      <c r="O49" s="15">
        <f>N49*N46</f>
        <v>60</v>
      </c>
    </row>
    <row r="50">
      <c r="C50" s="11" t="s">
        <v>213</v>
      </c>
      <c r="D50" s="2">
        <v>1.0</v>
      </c>
      <c r="E50" s="13" t="s">
        <v>214</v>
      </c>
      <c r="F50" s="14"/>
      <c r="G50" s="14" t="s">
        <v>215</v>
      </c>
      <c r="M50" s="17" t="s">
        <v>206</v>
      </c>
      <c r="N50" s="17">
        <v>20.0</v>
      </c>
      <c r="O50" s="15">
        <f>N50*I41</f>
        <v>359.8</v>
      </c>
      <c r="Q50" s="15">
        <f>O50/O49</f>
        <v>5.996666667</v>
      </c>
      <c r="R50" s="16">
        <f>Q50/100</f>
        <v>0.05996666667</v>
      </c>
    </row>
    <row r="51">
      <c r="C51" s="2" t="s">
        <v>216</v>
      </c>
      <c r="D51" s="2"/>
      <c r="E51" s="12"/>
    </row>
    <row r="52">
      <c r="E52" s="18"/>
      <c r="F52" s="18"/>
      <c r="G52" s="18"/>
    </row>
    <row r="54">
      <c r="E54" s="18"/>
      <c r="F54" s="18"/>
      <c r="G54" s="18"/>
    </row>
    <row r="56">
      <c r="E56" s="18"/>
      <c r="F56" s="18"/>
      <c r="G56" s="18"/>
    </row>
    <row r="58">
      <c r="E58" s="18"/>
      <c r="F58" s="18"/>
      <c r="G58" s="18"/>
    </row>
    <row r="60">
      <c r="B60" s="2" t="s">
        <v>113</v>
      </c>
    </row>
    <row r="61">
      <c r="B61" s="7" t="s">
        <v>217</v>
      </c>
      <c r="C61" s="2" t="s">
        <v>218</v>
      </c>
      <c r="D61" s="2"/>
      <c r="E61" s="2" t="s">
        <v>219</v>
      </c>
      <c r="F61" s="2"/>
      <c r="G61" s="2" t="s">
        <v>220</v>
      </c>
    </row>
    <row r="62">
      <c r="C62" s="2" t="s">
        <v>221</v>
      </c>
      <c r="D62" s="2"/>
      <c r="E62" s="2" t="s">
        <v>222</v>
      </c>
      <c r="F62" s="2"/>
      <c r="G62" s="2" t="s">
        <v>223</v>
      </c>
    </row>
    <row r="63">
      <c r="C63" s="2" t="s">
        <v>224</v>
      </c>
      <c r="D63" s="2"/>
      <c r="E63" s="2" t="s">
        <v>225</v>
      </c>
      <c r="F63" s="2"/>
      <c r="G63" s="2" t="s">
        <v>226</v>
      </c>
    </row>
    <row r="64">
      <c r="C64" s="2" t="s">
        <v>227</v>
      </c>
      <c r="D64" s="2"/>
      <c r="E64" s="14" t="s">
        <v>228</v>
      </c>
      <c r="F64" s="14"/>
      <c r="G64" s="2" t="s">
        <v>229</v>
      </c>
    </row>
    <row r="65">
      <c r="C65" s="2" t="s">
        <v>230</v>
      </c>
      <c r="D65" s="2"/>
      <c r="E65" s="2" t="s">
        <v>231</v>
      </c>
      <c r="F65" s="2"/>
      <c r="G65" s="2" t="s">
        <v>232</v>
      </c>
    </row>
    <row r="66">
      <c r="C66" s="14" t="s">
        <v>233</v>
      </c>
      <c r="D66" s="14"/>
      <c r="E66" s="2" t="s">
        <v>234</v>
      </c>
      <c r="F66" s="2"/>
      <c r="G66" s="2" t="s">
        <v>235</v>
      </c>
    </row>
    <row r="67">
      <c r="C67" s="2" t="s">
        <v>236</v>
      </c>
      <c r="D67" s="2"/>
      <c r="E67" s="2" t="s">
        <v>237</v>
      </c>
      <c r="F67" s="2"/>
    </row>
    <row r="68">
      <c r="C68" s="2" t="s">
        <v>238</v>
      </c>
      <c r="D68" s="2"/>
      <c r="E68" s="2" t="s">
        <v>239</v>
      </c>
      <c r="F68" s="2"/>
    </row>
    <row r="69">
      <c r="C69" s="2" t="s">
        <v>240</v>
      </c>
      <c r="D69" s="2"/>
      <c r="E69" s="2" t="s">
        <v>241</v>
      </c>
      <c r="F69" s="2"/>
    </row>
    <row r="70">
      <c r="C70" s="2" t="s">
        <v>242</v>
      </c>
      <c r="D70" s="2"/>
      <c r="E70" s="2" t="s">
        <v>243</v>
      </c>
      <c r="F70" s="2"/>
    </row>
  </sheetData>
  <hyperlinks>
    <hyperlink r:id="rId1" ref="B2"/>
    <hyperlink r:id="rId2" ref="A7"/>
    <hyperlink r:id="rId3" ref="B19"/>
    <hyperlink r:id="rId4" ref="B41"/>
    <hyperlink r:id="rId5" ref="B43"/>
    <hyperlink r:id="rId6" ref="B61"/>
  </hyperlinks>
  <drawing r:id="rId7"/>
</worksheet>
</file>